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  <sheet xmlns:r="http://schemas.openxmlformats.org/officeDocument/2006/relationships" name="Leave Track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₦#,##0"/>
  </numFmts>
  <fonts count="4">
    <font>
      <name val="Calibri"/>
      <family val="2"/>
      <color theme="1"/>
      <sz val="11"/>
      <scheme val="minor"/>
    </font>
    <font>
      <name val="Calibri"/>
      <b val="1"/>
      <color rgb="002B50D6"/>
      <sz val="16"/>
    </font>
    <font>
      <name val="Calibri"/>
      <b val="1"/>
      <color rgb="00FFFFFF"/>
      <sz val="12"/>
    </font>
    <font>
      <name val="Calibri"/>
      <color rgb="00333333"/>
      <sz val="10"/>
    </font>
  </fonts>
  <fills count="3">
    <fill>
      <patternFill/>
    </fill>
    <fill>
      <patternFill patternType="gray125"/>
    </fill>
    <fill>
      <patternFill patternType="solid">
        <fgColor rgb="002B50D6"/>
        <bgColor rgb="002B50D6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B50D6"/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👥 EMPLOYEE ATTENDANCE &amp; PAYROLL SYSTEM</t>
        </is>
      </c>
    </row>
    <row r="3">
      <c r="A3" s="2" t="inlineStr">
        <is>
          <t>Employee ID</t>
        </is>
      </c>
      <c r="B3" s="2" t="inlineStr">
        <is>
          <t>Name</t>
        </is>
      </c>
      <c r="C3" s="2" t="inlineStr">
        <is>
          <t>Department</t>
        </is>
      </c>
      <c r="D3" s="2" t="inlineStr">
        <is>
          <t>Days Present</t>
        </is>
      </c>
      <c r="E3" s="2" t="inlineStr">
        <is>
          <t>Days Absent</t>
        </is>
      </c>
      <c r="F3" s="2" t="inlineStr">
        <is>
          <t>Overtime Hrs</t>
        </is>
      </c>
      <c r="G3" s="2" t="inlineStr">
        <is>
          <t>Base Salary</t>
        </is>
      </c>
      <c r="H3" s="2" t="inlineStr">
        <is>
          <t>Net Pay</t>
        </is>
      </c>
    </row>
    <row r="4">
      <c r="A4" s="3" t="inlineStr">
        <is>
          <t>EMP001</t>
        </is>
      </c>
      <c r="B4" s="3" t="inlineStr">
        <is>
          <t>Ada Okafor</t>
        </is>
      </c>
      <c r="C4" s="4" t="inlineStr">
        <is>
          <t>Engineering</t>
        </is>
      </c>
      <c r="D4" s="4" t="n">
        <v>22</v>
      </c>
      <c r="E4" s="4" t="n">
        <v>1</v>
      </c>
      <c r="F4" s="4" t="n">
        <v>12</v>
      </c>
      <c r="G4" s="5" t="n">
        <v>450000</v>
      </c>
      <c r="H4" s="5">
        <f>G4+(F4*G4/22/8*1.5)-E4*G4/23*0.1</f>
        <v/>
      </c>
    </row>
    <row r="5">
      <c r="A5" s="3" t="inlineStr">
        <is>
          <t>EMP002</t>
        </is>
      </c>
      <c r="B5" s="3" t="inlineStr">
        <is>
          <t>Bola Adeyemi</t>
        </is>
      </c>
      <c r="C5" s="4" t="inlineStr">
        <is>
          <t>Marketing</t>
        </is>
      </c>
      <c r="D5" s="4" t="n">
        <v>20</v>
      </c>
      <c r="E5" s="4" t="n">
        <v>3</v>
      </c>
      <c r="F5" s="4" t="n">
        <v>5</v>
      </c>
      <c r="G5" s="5" t="n">
        <v>320000</v>
      </c>
      <c r="H5" s="5">
        <f>G5+(F5*G5/22/8*1.5)-E5*G5/23*0.1</f>
        <v/>
      </c>
    </row>
    <row r="6">
      <c r="A6" s="3" t="inlineStr">
        <is>
          <t>EMP003</t>
        </is>
      </c>
      <c r="B6" s="3" t="inlineStr">
        <is>
          <t>Chidi Nwosu</t>
        </is>
      </c>
      <c r="C6" s="4" t="inlineStr">
        <is>
          <t>Finance</t>
        </is>
      </c>
      <c r="D6" s="4" t="n">
        <v>23</v>
      </c>
      <c r="E6" s="4" t="n">
        <v>0</v>
      </c>
      <c r="F6" s="4" t="n">
        <v>8</v>
      </c>
      <c r="G6" s="5" t="n">
        <v>380000</v>
      </c>
      <c r="H6" s="5">
        <f>G6+(F6*G6/22/8*1.5)-E6*G6/23*0.1</f>
        <v/>
      </c>
    </row>
    <row r="7">
      <c r="A7" s="3" t="inlineStr">
        <is>
          <t>EMP004</t>
        </is>
      </c>
      <c r="B7" s="3" t="inlineStr">
        <is>
          <t>Diana Eze</t>
        </is>
      </c>
      <c r="C7" s="4" t="inlineStr">
        <is>
          <t>HR</t>
        </is>
      </c>
      <c r="D7" s="4" t="n">
        <v>21</v>
      </c>
      <c r="E7" s="4" t="n">
        <v>2</v>
      </c>
      <c r="F7" s="4" t="n">
        <v>3</v>
      </c>
      <c r="G7" s="5" t="n">
        <v>350000</v>
      </c>
      <c r="H7" s="5">
        <f>G7+(F7*G7/22/8*1.5)-E7*G7/23*0.1</f>
        <v/>
      </c>
    </row>
    <row r="8">
      <c r="A8" s="3" t="inlineStr">
        <is>
          <t>EMP005</t>
        </is>
      </c>
      <c r="B8" s="3" t="inlineStr">
        <is>
          <t>Emeka Obi</t>
        </is>
      </c>
      <c r="C8" s="4" t="inlineStr">
        <is>
          <t>Engineering</t>
        </is>
      </c>
      <c r="D8" s="4" t="n">
        <v>22</v>
      </c>
      <c r="E8" s="4" t="n">
        <v>1</v>
      </c>
      <c r="F8" s="4" t="n">
        <v>15</v>
      </c>
      <c r="G8" s="5" t="n">
        <v>480000</v>
      </c>
      <c r="H8" s="5">
        <f>G8+(F8*G8/22/8*1.5)-E8*G8/23*0.1</f>
        <v/>
      </c>
    </row>
    <row r="9">
      <c r="A9" s="3" t="inlineStr">
        <is>
          <t>EMP006</t>
        </is>
      </c>
      <c r="B9" s="3" t="inlineStr">
        <is>
          <t>Fatima Bello</t>
        </is>
      </c>
      <c r="C9" s="4" t="inlineStr">
        <is>
          <t>Operations</t>
        </is>
      </c>
      <c r="D9" s="4" t="n">
        <v>19</v>
      </c>
      <c r="E9" s="4" t="n">
        <v>4</v>
      </c>
      <c r="F9" s="4" t="n">
        <v>0</v>
      </c>
      <c r="G9" s="5" t="n">
        <v>280000</v>
      </c>
      <c r="H9" s="5">
        <f>G9+(F9*G9/22/8*1.5)-E9*G9/23*0.1</f>
        <v/>
      </c>
    </row>
    <row r="10">
      <c r="A10" s="3" t="inlineStr">
        <is>
          <t>EMP007</t>
        </is>
      </c>
      <c r="B10" s="3" t="inlineStr">
        <is>
          <t>Grace Adebayo</t>
        </is>
      </c>
      <c r="C10" s="4" t="inlineStr">
        <is>
          <t>Marketing</t>
        </is>
      </c>
      <c r="D10" s="4" t="n">
        <v>23</v>
      </c>
      <c r="E10" s="4" t="n">
        <v>0</v>
      </c>
      <c r="F10" s="4" t="n">
        <v>10</v>
      </c>
      <c r="G10" s="5" t="n">
        <v>340000</v>
      </c>
      <c r="H10" s="5">
        <f>G10+(F10*G10/22/8*1.5)-E10*G10/23*0.1</f>
        <v/>
      </c>
    </row>
    <row r="11">
      <c r="A11" s="3" t="inlineStr">
        <is>
          <t>EMP008</t>
        </is>
      </c>
      <c r="B11" s="3" t="inlineStr">
        <is>
          <t>Hassan Musa</t>
        </is>
      </c>
      <c r="C11" s="4" t="inlineStr">
        <is>
          <t>Finance</t>
        </is>
      </c>
      <c r="D11" s="4" t="n">
        <v>21</v>
      </c>
      <c r="E11" s="4" t="n">
        <v>2</v>
      </c>
      <c r="F11" s="4" t="n">
        <v>6</v>
      </c>
      <c r="G11" s="5" t="n">
        <v>390000</v>
      </c>
      <c r="H11" s="5">
        <f>G11+(F11*G11/22/8*1.5)-E11*G11/23*0.1</f>
        <v/>
      </c>
    </row>
    <row r="12">
      <c r="A12" s="3" t="inlineStr">
        <is>
          <t>EMP009</t>
        </is>
      </c>
      <c r="B12" s="3" t="inlineStr">
        <is>
          <t>Ifeoma Okoro</t>
        </is>
      </c>
      <c r="C12" s="4" t="inlineStr">
        <is>
          <t>Engineering</t>
        </is>
      </c>
      <c r="D12" s="4" t="n">
        <v>22</v>
      </c>
      <c r="E12" s="4" t="n">
        <v>1</v>
      </c>
      <c r="F12" s="4" t="n">
        <v>20</v>
      </c>
      <c r="G12" s="5" t="n">
        <v>520000</v>
      </c>
      <c r="H12" s="5">
        <f>G12+(F12*G12/22/8*1.5)-E12*G12/23*0.1</f>
        <v/>
      </c>
    </row>
    <row r="13">
      <c r="A13" s="3" t="inlineStr">
        <is>
          <t>EMP010</t>
        </is>
      </c>
      <c r="B13" s="3" t="inlineStr">
        <is>
          <t>John Akinola</t>
        </is>
      </c>
      <c r="C13" s="4" t="inlineStr">
        <is>
          <t>Operations</t>
        </is>
      </c>
      <c r="D13" s="4" t="n">
        <v>20</v>
      </c>
      <c r="E13" s="4" t="n">
        <v>3</v>
      </c>
      <c r="F13" s="4" t="n">
        <v>2</v>
      </c>
      <c r="G13" s="5" t="n">
        <v>300000</v>
      </c>
      <c r="H13" s="5">
        <f>G13+(F13*G13/22/8*1.5)-E13*G13/23*0.1</f>
        <v/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Leave Management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2026-07-05T19:09:22Z</dcterms:created>
  <dcterms:modified xmlns:dcterms="http://purl.org/dc/terms/" xmlns:xsi="http://www.w3.org/2001/XMLSchema-instance" xsi:type="dcterms:W3CDTF">2026-07-05T19:09:22Z</dcterms:modified>
</cp:coreProperties>
</file>