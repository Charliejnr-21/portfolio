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4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📦 INVENTORY MANAGEMENT TRACKER</t>
        </is>
      </c>
    </row>
    <row r="3">
      <c r="A3" s="2" t="inlineStr">
        <is>
          <t>SKU</t>
        </is>
      </c>
      <c r="B3" s="2" t="inlineStr">
        <is>
          <t>Product Name</t>
        </is>
      </c>
      <c r="C3" s="2" t="inlineStr">
        <is>
          <t>Category</t>
        </is>
      </c>
      <c r="D3" s="2" t="inlineStr">
        <is>
          <t>Stock Level</t>
        </is>
      </c>
      <c r="E3" s="2" t="inlineStr">
        <is>
          <t>Reorder Point</t>
        </is>
      </c>
      <c r="F3" s="2" t="inlineStr">
        <is>
          <t>Status</t>
        </is>
      </c>
      <c r="G3" s="2" t="inlineStr">
        <is>
          <t>Unit Cost</t>
        </is>
      </c>
      <c r="H3" s="2" t="inlineStr">
        <is>
          <t>Total Value</t>
        </is>
      </c>
      <c r="I3" s="2" t="inlineStr">
        <is>
          <t>Supplier</t>
        </is>
      </c>
      <c r="J3" s="2" t="inlineStr">
        <is>
          <t>Last Restocked</t>
        </is>
      </c>
    </row>
    <row r="4">
      <c r="A4" s="3" t="inlineStr">
        <is>
          <t>SKU001</t>
        </is>
      </c>
      <c r="B4" s="3" t="inlineStr">
        <is>
          <t>Laptop Dell XPS 15</t>
        </is>
      </c>
      <c r="C4" s="4" t="inlineStr">
        <is>
          <t>Electronics</t>
        </is>
      </c>
      <c r="D4" s="4" t="n">
        <v>45</v>
      </c>
      <c r="E4" s="4" t="n">
        <v>20</v>
      </c>
      <c r="F4" s="4">
        <f>IF(D4&lt;E4,"REORDER","OK")</f>
        <v/>
      </c>
      <c r="G4" s="5" t="n">
        <v>1450000</v>
      </c>
      <c r="H4" s="5">
        <f>D4*G4</f>
        <v/>
      </c>
      <c r="I4" s="4" t="inlineStr">
        <is>
          <t>Dell Nigeria</t>
        </is>
      </c>
      <c r="J4" s="4" t="inlineStr">
        <is>
          <t>2024-11-15</t>
        </is>
      </c>
    </row>
    <row r="5">
      <c r="A5" s="3" t="inlineStr">
        <is>
          <t>SKU002</t>
        </is>
      </c>
      <c r="B5" s="3" t="inlineStr">
        <is>
          <t>HP LaserJet Pro</t>
        </is>
      </c>
      <c r="C5" s="4" t="inlineStr">
        <is>
          <t>Electronics</t>
        </is>
      </c>
      <c r="D5" s="4" t="n">
        <v>12</v>
      </c>
      <c r="E5" s="4" t="n">
        <v>10</v>
      </c>
      <c r="F5" s="4">
        <f>IF(D5&lt;E5,"REORDER","OK")</f>
        <v/>
      </c>
      <c r="G5" s="5" t="n">
        <v>285000</v>
      </c>
      <c r="H5" s="5">
        <f>D5*G5</f>
        <v/>
      </c>
      <c r="I5" s="4" t="inlineStr">
        <is>
          <t>HP Africa</t>
        </is>
      </c>
      <c r="J5" s="4" t="inlineStr">
        <is>
          <t>2024-11-20</t>
        </is>
      </c>
    </row>
    <row r="6">
      <c r="A6" s="3" t="inlineStr">
        <is>
          <t>SKU003</t>
        </is>
      </c>
      <c r="B6" s="3" t="inlineStr">
        <is>
          <t>Office Chair Executive</t>
        </is>
      </c>
      <c r="C6" s="4" t="inlineStr">
        <is>
          <t>Furniture</t>
        </is>
      </c>
      <c r="D6" s="4" t="n">
        <v>78</v>
      </c>
      <c r="E6" s="4" t="n">
        <v>30</v>
      </c>
      <c r="F6" s="4">
        <f>IF(D6&lt;E6,"REORDER","OK")</f>
        <v/>
      </c>
      <c r="G6" s="5" t="n">
        <v>85000</v>
      </c>
      <c r="H6" s="5">
        <f>D6*G6</f>
        <v/>
      </c>
      <c r="I6" s="4" t="inlineStr">
        <is>
          <t>Lynchpin Solutions</t>
        </is>
      </c>
      <c r="J6" s="4" t="inlineStr">
        <is>
          <t>2024-10-28</t>
        </is>
      </c>
    </row>
    <row r="7">
      <c r="A7" s="3" t="inlineStr">
        <is>
          <t>SKU004</t>
        </is>
      </c>
      <c r="B7" s="3" t="inlineStr">
        <is>
          <t>A4 Paper (Ream)</t>
        </is>
      </c>
      <c r="C7" s="4" t="inlineStr">
        <is>
          <t>Stationery</t>
        </is>
      </c>
      <c r="D7" s="4" t="n">
        <v>340</v>
      </c>
      <c r="E7" s="4" t="n">
        <v>100</v>
      </c>
      <c r="F7" s="4">
        <f>IF(D7&lt;E7,"REORDER","OK")</f>
        <v/>
      </c>
      <c r="G7" s="5" t="n">
        <v>3500</v>
      </c>
      <c r="H7" s="5">
        <f>D7*G7</f>
        <v/>
      </c>
      <c r="I7" s="4" t="inlineStr">
        <is>
          <t>Bata Press</t>
        </is>
      </c>
      <c r="J7" s="4" t="inlineStr">
        <is>
          <t>2024-11-22</t>
        </is>
      </c>
    </row>
    <row r="8">
      <c r="A8" s="3" t="inlineStr">
        <is>
          <t>SKU005</t>
        </is>
      </c>
      <c r="B8" s="3" t="inlineStr">
        <is>
          <t>Toner Cartridge</t>
        </is>
      </c>
      <c r="C8" s="4" t="inlineStr">
        <is>
          <t>Stationery</t>
        </is>
      </c>
      <c r="D8" s="4" t="n">
        <v>8</v>
      </c>
      <c r="E8" s="4" t="n">
        <v>15</v>
      </c>
      <c r="F8" s="4">
        <f>IF(D8&lt;E8,"REORDER","OK")</f>
        <v/>
      </c>
      <c r="G8" s="5" t="n">
        <v>22000</v>
      </c>
      <c r="H8" s="5">
        <f>D8*G8</f>
        <v/>
      </c>
      <c r="I8" s="4" t="inlineStr">
        <is>
          <t>HP Africa</t>
        </is>
      </c>
      <c r="J8" s="4" t="inlineStr">
        <is>
          <t>2024-10-30</t>
        </is>
      </c>
    </row>
    <row r="9">
      <c r="A9" s="3" t="inlineStr">
        <is>
          <t>SKU006</t>
        </is>
      </c>
      <c r="B9" s="3" t="inlineStr">
        <is>
          <t>Standing Desk</t>
        </is>
      </c>
      <c r="C9" s="4" t="inlineStr">
        <is>
          <t>Furniture</t>
        </is>
      </c>
      <c r="D9" s="4" t="n">
        <v>23</v>
      </c>
      <c r="E9" s="4" t="n">
        <v>10</v>
      </c>
      <c r="F9" s="4">
        <f>IF(D9&lt;E9,"REORDER","OK")</f>
        <v/>
      </c>
      <c r="G9" s="5" t="n">
        <v>125000</v>
      </c>
      <c r="H9" s="5">
        <f>D9*G9</f>
        <v/>
      </c>
      <c r="I9" s="4" t="inlineStr">
        <is>
          <t>Lynchpin Solutions</t>
        </is>
      </c>
      <c r="J9" s="4" t="inlineStr">
        <is>
          <t>2024-11-10</t>
        </is>
      </c>
    </row>
    <row r="10">
      <c r="A10" s="3" t="inlineStr">
        <is>
          <t>SKU007</t>
        </is>
      </c>
      <c r="B10" s="3" t="inlineStr">
        <is>
          <t>Wireless Mouse</t>
        </is>
      </c>
      <c r="C10" s="4" t="inlineStr">
        <is>
          <t>Electronics</t>
        </is>
      </c>
      <c r="D10" s="4" t="n">
        <v>156</v>
      </c>
      <c r="E10" s="4" t="n">
        <v>50</v>
      </c>
      <c r="F10" s="4">
        <f>IF(D10&lt;E10,"REORDER","OK")</f>
        <v/>
      </c>
      <c r="G10" s="5" t="n">
        <v>8500</v>
      </c>
      <c r="H10" s="5">
        <f>D10*G10</f>
        <v/>
      </c>
      <c r="I10" s="4" t="inlineStr">
        <is>
          <t>Logitech NG</t>
        </is>
      </c>
      <c r="J10" s="4" t="inlineStr">
        <is>
          <t>2024-11-18</t>
        </is>
      </c>
    </row>
    <row r="11">
      <c r="A11" s="3" t="inlineStr">
        <is>
          <t>SKU008</t>
        </is>
      </c>
      <c r="B11" s="3" t="inlineStr">
        <is>
          <t>Whiteboard Large</t>
        </is>
      </c>
      <c r="C11" s="4" t="inlineStr">
        <is>
          <t>Furniture</t>
        </is>
      </c>
      <c r="D11" s="4" t="n">
        <v>5</v>
      </c>
      <c r="E11" s="4" t="n">
        <v>8</v>
      </c>
      <c r="F11" s="4">
        <f>IF(D11&lt;E11,"REORDER","OK")</f>
        <v/>
      </c>
      <c r="G11" s="5" t="n">
        <v>45000</v>
      </c>
      <c r="H11" s="5">
        <f>D11*G11</f>
        <v/>
      </c>
      <c r="I11" s="4" t="inlineStr">
        <is>
          <t>Office Max NG</t>
        </is>
      </c>
      <c r="J11" s="4" t="inlineStr">
        <is>
          <t>2024-09-15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