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Varianc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2B50D6"/>
      <sz val="18"/>
    </font>
    <font>
      <name val="Calibri"/>
      <b val="1"/>
      <color rgb="00FFFFFF"/>
      <sz val="12"/>
    </font>
    <font>
      <name val="Calibri"/>
      <b val="1"/>
      <color rgb="002B50D6"/>
      <sz val="10"/>
    </font>
    <font>
      <name val="Calibri"/>
      <color rgb="00333333"/>
      <sz val="10"/>
    </font>
    <font>
      <name val="Calibri"/>
      <b val="1"/>
      <color rgb="002B50D6"/>
      <sz val="16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1E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💰 FINANCIAL BUDGET &amp; FORECAST MODEL — FY2024</t>
        </is>
      </c>
    </row>
    <row r="3">
      <c r="A3" s="2" t="inlineStr">
        <is>
          <t>Line Item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Annual Total</t>
        </is>
      </c>
    </row>
    <row r="4">
      <c r="A4" s="3" t="inlineStr">
        <is>
          <t>Revenue</t>
        </is>
      </c>
      <c r="B4" s="4" t="n">
        <v>820000</v>
      </c>
      <c r="C4" s="5" t="n">
        <v>910000</v>
      </c>
      <c r="D4" s="5" t="n">
        <v>1050000</v>
      </c>
      <c r="E4" s="5" t="n">
        <v>1180000</v>
      </c>
      <c r="F4" s="5">
        <f>SUM(B4:E4)</f>
        <v/>
      </c>
    </row>
    <row r="5">
      <c r="A5" s="3" t="inlineStr">
        <is>
          <t>Cost of Goods Sold</t>
        </is>
      </c>
      <c r="B5" s="4" t="n">
        <v>-410000</v>
      </c>
      <c r="C5" s="5" t="n">
        <v>-455000</v>
      </c>
      <c r="D5" s="5" t="n">
        <v>-525000</v>
      </c>
      <c r="E5" s="5" t="n">
        <v>-590000</v>
      </c>
      <c r="F5" s="5">
        <f>SUM(B5:E5)</f>
        <v/>
      </c>
    </row>
    <row r="6">
      <c r="A6" s="3" t="inlineStr">
        <is>
          <t>Gross Profit</t>
        </is>
      </c>
      <c r="B6" s="4" t="n">
        <v>410000</v>
      </c>
      <c r="C6" s="5" t="n">
        <v>455000</v>
      </c>
      <c r="D6" s="5" t="n">
        <v>525000</v>
      </c>
      <c r="E6" s="5" t="n">
        <v>590000</v>
      </c>
      <c r="F6" s="5">
        <f>SUM(B6:E6)</f>
        <v/>
      </c>
    </row>
    <row r="7">
      <c r="A7" s="3" t="inlineStr">
        <is>
          <t>Operating Expenses</t>
        </is>
      </c>
      <c r="B7" s="4" t="n">
        <v>-180000</v>
      </c>
      <c r="C7" s="5" t="n">
        <v>-195000</v>
      </c>
      <c r="D7" s="5" t="n">
        <v>-210000</v>
      </c>
      <c r="E7" s="5" t="n">
        <v>-225000</v>
      </c>
      <c r="F7" s="5">
        <f>SUM(B7:E7)</f>
        <v/>
      </c>
    </row>
    <row r="8">
      <c r="A8" s="3" t="inlineStr">
        <is>
          <t>Marketing</t>
        </is>
      </c>
      <c r="B8" s="4" t="n">
        <v>-65000</v>
      </c>
      <c r="C8" s="5" t="n">
        <v>-72000</v>
      </c>
      <c r="D8" s="5" t="n">
        <v>-78000</v>
      </c>
      <c r="E8" s="5" t="n">
        <v>-85000</v>
      </c>
      <c r="F8" s="5">
        <f>SUM(B8:E8)</f>
        <v/>
      </c>
    </row>
    <row r="9">
      <c r="A9" s="3" t="inlineStr">
        <is>
          <t>R&amp;D</t>
        </is>
      </c>
      <c r="B9" s="4" t="n">
        <v>-45000</v>
      </c>
      <c r="C9" s="5" t="n">
        <v>-48000</v>
      </c>
      <c r="D9" s="5" t="n">
        <v>-52000</v>
      </c>
      <c r="E9" s="5" t="n">
        <v>-55000</v>
      </c>
      <c r="F9" s="5">
        <f>SUM(B9:E9)</f>
        <v/>
      </c>
    </row>
    <row r="10">
      <c r="A10" s="3" t="inlineStr">
        <is>
          <t>SG&amp;A</t>
        </is>
      </c>
      <c r="B10" s="4" t="n">
        <v>-70000</v>
      </c>
      <c r="C10" s="5" t="n">
        <v>-75000</v>
      </c>
      <c r="D10" s="5" t="n">
        <v>-80000</v>
      </c>
      <c r="E10" s="5" t="n">
        <v>-85000</v>
      </c>
      <c r="F10" s="5">
        <f>SUM(B10:E10)</f>
        <v/>
      </c>
    </row>
    <row r="11">
      <c r="A11" s="3" t="inlineStr">
        <is>
          <t>Operating Income</t>
        </is>
      </c>
      <c r="B11" s="4" t="n">
        <v>50000</v>
      </c>
      <c r="C11" s="5" t="n">
        <v>65000</v>
      </c>
      <c r="D11" s="5" t="n">
        <v>105000</v>
      </c>
      <c r="E11" s="5" t="n">
        <v>140000</v>
      </c>
      <c r="F11" s="5">
        <f>SUM(B11:E11)</f>
        <v/>
      </c>
    </row>
    <row r="12">
      <c r="A12" s="3" t="inlineStr">
        <is>
          <t>Interest &amp; Other</t>
        </is>
      </c>
      <c r="B12" s="4" t="n">
        <v>-12000</v>
      </c>
      <c r="C12" s="5" t="n">
        <v>-10000</v>
      </c>
      <c r="D12" s="5" t="n">
        <v>-8000</v>
      </c>
      <c r="E12" s="5" t="n">
        <v>-6000</v>
      </c>
      <c r="F12" s="5">
        <f>SUM(B12:E12)</f>
        <v/>
      </c>
    </row>
    <row r="13">
      <c r="A13" s="3" t="inlineStr">
        <is>
          <t>Net Income</t>
        </is>
      </c>
      <c r="B13" s="4" t="n">
        <v>38000</v>
      </c>
      <c r="C13" s="5" t="n">
        <v>55000</v>
      </c>
      <c r="D13" s="5" t="n">
        <v>97000</v>
      </c>
      <c r="E13" s="5" t="n">
        <v>134000</v>
      </c>
      <c r="F13" s="5">
        <f>SUM(B13:E13)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Cash Flow Projection</t>
        </is>
      </c>
    </row>
    <row r="2">
      <c r="A2" s="2" t="inlineStr">
        <is>
          <t>Category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</row>
    <row r="3">
      <c r="A3" s="3" t="inlineStr">
        <is>
          <t>Opening Balance</t>
        </is>
      </c>
      <c r="B3" s="3" t="n">
        <v>450000</v>
      </c>
      <c r="C3" s="7" t="n">
        <v>468000</v>
      </c>
      <c r="D3" s="7" t="n">
        <v>513000</v>
      </c>
      <c r="E3" s="7" t="n">
        <v>610000</v>
      </c>
    </row>
    <row r="4">
      <c r="A4" s="3" t="inlineStr">
        <is>
          <t>Cash from Operations</t>
        </is>
      </c>
      <c r="B4" s="3" t="n">
        <v>180000</v>
      </c>
      <c r="C4" s="7" t="n">
        <v>205000</v>
      </c>
      <c r="D4" s="7" t="n">
        <v>240000</v>
      </c>
      <c r="E4" s="7" t="n">
        <v>285000</v>
      </c>
    </row>
    <row r="5">
      <c r="A5" s="3" t="inlineStr">
        <is>
          <t>Cash from Investing</t>
        </is>
      </c>
      <c r="B5" s="3" t="n">
        <v>-50000</v>
      </c>
      <c r="C5" s="7" t="n">
        <v>-30000</v>
      </c>
      <c r="D5" s="7" t="n">
        <v>-75000</v>
      </c>
      <c r="E5" s="7" t="n">
        <v>-40000</v>
      </c>
    </row>
    <row r="6">
      <c r="A6" s="3" t="inlineStr">
        <is>
          <t>Cash from Financing</t>
        </is>
      </c>
      <c r="B6" s="3" t="n">
        <v>88000</v>
      </c>
      <c r="C6" s="7" t="n">
        <v>-20000</v>
      </c>
      <c r="D6" s="7" t="n">
        <v>-68000</v>
      </c>
      <c r="E6" s="7" t="n">
        <v>-45000</v>
      </c>
    </row>
    <row r="7">
      <c r="A7" s="3" t="inlineStr">
        <is>
          <t>Closing Balance</t>
        </is>
      </c>
      <c r="B7" s="3" t="n">
        <v>468000</v>
      </c>
      <c r="C7" s="7" t="n">
        <v>513000</v>
      </c>
      <c r="D7" s="7" t="n">
        <v>610000</v>
      </c>
      <c r="E7" s="7" t="n">
        <v>720000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Budget vs Actual Variance</t>
        </is>
      </c>
    </row>
    <row r="2">
      <c r="A2" s="2" t="inlineStr">
        <is>
          <t>Item</t>
        </is>
      </c>
      <c r="B2" s="2" t="inlineStr">
        <is>
          <t>Budget</t>
        </is>
      </c>
      <c r="C2" s="2" t="inlineStr">
        <is>
          <t>Actual</t>
        </is>
      </c>
      <c r="D2" s="2" t="inlineStr">
        <is>
          <t>Variance</t>
        </is>
      </c>
      <c r="E2" s="2" t="inlineStr">
        <is>
          <t>Var %</t>
        </is>
      </c>
    </row>
    <row r="3">
      <c r="A3" s="3" t="inlineStr">
        <is>
          <t>Revenue</t>
        </is>
      </c>
      <c r="B3" s="3" t="n">
        <v>3960000</v>
      </c>
      <c r="C3" s="7" t="n">
        <v>4120000</v>
      </c>
      <c r="D3" s="7">
        <f>C3-B3</f>
        <v/>
      </c>
      <c r="E3" s="7">
        <f>D3/ABS(B3)</f>
        <v/>
      </c>
    </row>
    <row r="4">
      <c r="A4" s="3" t="inlineStr">
        <is>
          <t>COGS</t>
        </is>
      </c>
      <c r="B4" s="3" t="n">
        <v>-1980000</v>
      </c>
      <c r="C4" s="7" t="n">
        <v>-1910000</v>
      </c>
      <c r="D4" s="7">
        <f>C4-B4</f>
        <v/>
      </c>
      <c r="E4" s="7">
        <f>D4/ABS(B4)</f>
        <v/>
      </c>
    </row>
    <row r="5">
      <c r="A5" s="3" t="inlineStr">
        <is>
          <t>OpEx</t>
        </is>
      </c>
      <c r="B5" s="3" t="n">
        <v>-810000</v>
      </c>
      <c r="C5" s="7" t="n">
        <v>-835000</v>
      </c>
      <c r="D5" s="7">
        <f>C5-B5</f>
        <v/>
      </c>
      <c r="E5" s="7">
        <f>D5/ABS(B5)</f>
        <v/>
      </c>
    </row>
    <row r="6">
      <c r="A6" s="3" t="inlineStr">
        <is>
          <t>Marketing</t>
        </is>
      </c>
      <c r="B6" s="3" t="n">
        <v>-300000</v>
      </c>
      <c r="C6" s="7" t="n">
        <v>-295000</v>
      </c>
      <c r="D6" s="7">
        <f>C6-B6</f>
        <v/>
      </c>
      <c r="E6" s="7">
        <f>D6/ABS(B6)</f>
        <v/>
      </c>
    </row>
    <row r="7">
      <c r="A7" s="3" t="inlineStr">
        <is>
          <t>R&amp;D</t>
        </is>
      </c>
      <c r="B7" s="3" t="n">
        <v>-200000</v>
      </c>
      <c r="C7" s="7" t="n">
        <v>-215000</v>
      </c>
      <c r="D7" s="7">
        <f>C7-B7</f>
        <v/>
      </c>
      <c r="E7" s="7">
        <f>D7/ABS(B7)</f>
        <v/>
      </c>
    </row>
    <row r="8">
      <c r="A8" s="3" t="inlineStr">
        <is>
          <t>Net Income</t>
        </is>
      </c>
      <c r="B8" s="3" t="n">
        <v>670000</v>
      </c>
      <c r="C8" s="7" t="n">
        <v>865000</v>
      </c>
      <c r="D8" s="7">
        <f>C8-B8</f>
        <v/>
      </c>
      <c r="E8" s="7">
        <f>D8/ABS(B8)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2026-07-05T19:09:22Z</dcterms:created>
  <dcterms:modified xmlns:dcterms="http://purl.org/dc/terms/" xmlns:xsi="http://www.w3.org/2001/XMLSchema-instance" xsi:type="dcterms:W3CDTF">2026-07-05T19:09:22Z</dcterms:modified>
</cp:coreProperties>
</file>